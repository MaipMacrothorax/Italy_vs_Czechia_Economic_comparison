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https://vse-my.sharepoint.com/personal/giut00_vse_cz/Documents/"/>
    </mc:Choice>
  </mc:AlternateContent>
  <xr:revisionPtr revIDLastSave="0" documentId="8_{3587708B-7D26-5F4C-AB85-7A5C34EDB062}" xr6:coauthVersionLast="47" xr6:coauthVersionMax="47" xr10:uidLastSave="{00000000-0000-0000-0000-000000000000}"/>
  <bookViews>
    <workbookView xWindow="0" yWindow="760" windowWidth="29400" windowHeight="16660" xr2:uid="{0A557AF4-ABD3-AD44-959B-E6777B667B1F}"/>
  </bookViews>
  <sheets>
    <sheet name="Unemployment rate" sheetId="2" r:id="rId1"/>
    <sheet name="At-risk-of-poverty rate" sheetId="3" r:id="rId2"/>
    <sheet name="Median yearly net income" sheetId="4" r:id="rId3"/>
    <sheet name="Summary of Decomposition"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4" l="1"/>
  <c r="H5" i="4"/>
  <c r="H3" i="4"/>
  <c r="G4" i="4"/>
  <c r="G5" i="4"/>
  <c r="G3" i="4"/>
  <c r="D3" i="4"/>
  <c r="D4" i="4"/>
  <c r="D5" i="4"/>
  <c r="K4" i="3"/>
  <c r="K3" i="3"/>
  <c r="J4" i="3"/>
  <c r="J3" i="3"/>
  <c r="I4" i="3"/>
  <c r="I3" i="3"/>
  <c r="F4" i="3"/>
  <c r="F3" i="3"/>
  <c r="J5" i="2"/>
  <c r="I5" i="2"/>
  <c r="F5" i="2"/>
  <c r="J4" i="2"/>
  <c r="I4" i="2"/>
  <c r="F4" i="2"/>
  <c r="J3" i="2"/>
  <c r="I3" i="2"/>
  <c r="F3" i="2"/>
</calcChain>
</file>

<file path=xl/sharedStrings.xml><?xml version="1.0" encoding="utf-8"?>
<sst xmlns="http://schemas.openxmlformats.org/spreadsheetml/2006/main" count="69" uniqueCount="46">
  <si>
    <t>Age group</t>
  </si>
  <si>
    <t>Italy</t>
  </si>
  <si>
    <t>Czechia</t>
  </si>
  <si>
    <t>Timestamp</t>
  </si>
  <si>
    <t>Source</t>
  </si>
  <si>
    <t>Index Italy vs Czechia (%)</t>
  </si>
  <si>
    <t>Italy population share</t>
  </si>
  <si>
    <t>Czechia population share</t>
  </si>
  <si>
    <t>Rate effect</t>
  </si>
  <si>
    <t>Structure effect</t>
  </si>
  <si>
    <t>15-24</t>
  </si>
  <si>
    <t>Eurostat</t>
  </si>
  <si>
    <t>25-49</t>
  </si>
  <si>
    <t>50-64</t>
  </si>
  <si>
    <t>index</t>
  </si>
  <si>
    <t>Italy vs Czechia</t>
  </si>
  <si>
    <t>Intensity effect</t>
  </si>
  <si>
    <t>&lt;18</t>
  </si>
  <si>
    <t>25-54</t>
  </si>
  <si>
    <t>ISTAT, worlddata</t>
  </si>
  <si>
    <t xml:space="preserve"> </t>
  </si>
  <si>
    <t>xx</t>
  </si>
  <si>
    <t>Education level (ISCED 2011)</t>
  </si>
  <si>
    <t xml:space="preserve">Italy (€) Median equivalased net income </t>
  </si>
  <si>
    <t xml:space="preserve">Czechia (€) Median equivalased net income  </t>
  </si>
  <si>
    <t>Index (Czechia vs Italy, %)</t>
  </si>
  <si>
    <t>Interpretation</t>
  </si>
  <si>
    <t>0-2 (ISCED 2011)</t>
  </si>
  <si>
    <t>In italy there are more people with low education, but the wage gap for this group is small.</t>
  </si>
  <si>
    <t>3-4 (ISCED 2011)</t>
  </si>
  <si>
    <t>More Czechs have medium education, yet Italians earn significantly more.</t>
  </si>
  <si>
    <t>5-8 (ISCED 2011)</t>
  </si>
  <si>
    <t>Czechs are slighty more educated, but the income difference strongly favors Italy.</t>
  </si>
  <si>
    <t>Indicator</t>
  </si>
  <si>
    <t>Main effect</t>
  </si>
  <si>
    <t>Dominant component</t>
  </si>
  <si>
    <t>Key analytical insight</t>
  </si>
  <si>
    <t>Unemployment</t>
  </si>
  <si>
    <t>Labour market outcomes</t>
  </si>
  <si>
    <t>Italy's unemployment is consistently high, especially among youth, reflecting structural barriers in the school-to-work transition and weaker labour demand.</t>
  </si>
  <si>
    <t>Poverty</t>
  </si>
  <si>
    <t>Income distribution</t>
  </si>
  <si>
    <t>Wages</t>
  </si>
  <si>
    <t>Wage structure</t>
  </si>
  <si>
    <t>Czech wages amouunt to roughly  73% of Italian levels. The gap widens with education, showing stronger returns to skills and higher wage dispersion in Italy.</t>
  </si>
  <si>
    <t>Italy's higher poverty risk is driven by worse income outcomes rather than demographic composition, indicating weaker redistributive performance and less effective social transfers.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</si>
</sst>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sz val="12"/>
      <color theme="1"/>
      <name val="Aptos Narrow"/>
      <family val="2"/>
      <scheme val="minor"/>
    </font>
    <font>
      <sz val="17"/>
      <color rgb="FFFFFFFF"/>
      <name val=".AppleSystemUIFont"/>
    </font>
    <font>
      <b/>
      <sz val="12"/>
      <color theme="1"/>
      <name val="Aptos Narrow"/>
      <scheme val="minor"/>
    </font>
    <font>
      <u/>
      <sz val="12"/>
      <color theme="1"/>
      <name val="Aptos Narrow"/>
      <family val="2"/>
      <scheme val="minor"/>
    </font>
    <font>
      <b/>
      <u/>
      <sz val="12"/>
      <color theme="1"/>
      <name val="Aptos Narrow"/>
      <scheme val="minor"/>
    </font>
    <font>
      <i/>
      <sz val="12"/>
      <color theme="1"/>
      <name val="Aptos Narrow"/>
      <scheme val="minor"/>
    </font>
    <font>
      <sz val="8"/>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8" fillId="0" borderId="0" applyNumberFormat="0" applyFill="0" applyBorder="0" applyAlignment="0" applyProtection="0"/>
  </cellStyleXfs>
  <cellXfs count="20">
    <xf numFmtId="0" fontId="0" fillId="0" borderId="0" xfId="0"/>
    <xf numFmtId="9" fontId="0" fillId="0" borderId="0" xfId="0" applyNumberFormat="1"/>
    <xf numFmtId="10" fontId="0" fillId="0" borderId="0" xfId="0" applyNumberForma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2" fontId="0" fillId="0" borderId="0" xfId="0" applyNumberFormat="1"/>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9" fontId="0" fillId="0" borderId="0" xfId="0" applyNumberFormat="1" applyAlignment="1">
      <alignment wrapText="1"/>
    </xf>
    <xf numFmtId="10" fontId="0" fillId="0" borderId="0" xfId="0" applyNumberFormat="1" applyAlignment="1">
      <alignment wrapText="1"/>
    </xf>
    <xf numFmtId="0" fontId="8" fillId="0" borderId="0" xfId="2" applyAlignment="1">
      <alignment wrapText="1"/>
    </xf>
    <xf numFmtId="2" fontId="3" fillId="0" borderId="0" xfId="0" applyNumberFormat="1" applyFont="1" applyAlignment="1">
      <alignment wrapText="1"/>
    </xf>
    <xf numFmtId="2" fontId="0" fillId="0" borderId="0" xfId="0" applyNumberFormat="1" applyAlignment="1">
      <alignment wrapText="1"/>
    </xf>
    <xf numFmtId="10" fontId="0" fillId="0" borderId="0" xfId="1" applyNumberFormat="1" applyFont="1" applyAlignment="1">
      <alignment wrapText="1"/>
    </xf>
    <xf numFmtId="49" fontId="0" fillId="0" borderId="0" xfId="0" applyNumberFormat="1" applyAlignment="1">
      <alignment wrapText="1"/>
    </xf>
    <xf numFmtId="0" fontId="6" fillId="0" borderId="0" xfId="0" applyFont="1" applyAlignment="1">
      <alignment horizontal="center"/>
    </xf>
  </cellXfs>
  <cellStyles count="3">
    <cellStyle name="Hyperlink" xfId="2" builtinId="8"/>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Unemployment</a:t>
            </a:r>
            <a:r>
              <a:rPr lang="en-GB" baseline="0"/>
              <a:t> Rate by Age Group - Italy vs Czechia (2023)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1044484080006144E-2"/>
          <c:y val="0.12751714409608642"/>
          <c:w val="0.96279310268629881"/>
          <c:h val="0.78364993438320207"/>
        </c:manualLayout>
      </c:layout>
      <c:barChart>
        <c:barDir val="col"/>
        <c:grouping val="clustered"/>
        <c:varyColors val="0"/>
        <c:ser>
          <c:idx val="0"/>
          <c:order val="0"/>
          <c:tx>
            <c:strRef>
              <c:f>'Unemployment rate'!$B$2</c:f>
              <c:strCache>
                <c:ptCount val="1"/>
                <c:pt idx="0">
                  <c:v>Italy</c:v>
                </c:pt>
              </c:strCache>
            </c:strRef>
          </c:tx>
          <c:spPr>
            <a:solidFill>
              <a:schemeClr val="accent1"/>
            </a:solidFill>
            <a:ln>
              <a:noFill/>
            </a:ln>
            <a:effectLst/>
          </c:spPr>
          <c:invertIfNegative val="0"/>
          <c:cat>
            <c:strRef>
              <c:f>'Unemployment rate'!$A$3:$A$5</c:f>
              <c:strCache>
                <c:ptCount val="3"/>
                <c:pt idx="0">
                  <c:v>15-24</c:v>
                </c:pt>
                <c:pt idx="1">
                  <c:v>25-49</c:v>
                </c:pt>
                <c:pt idx="2">
                  <c:v>50-64</c:v>
                </c:pt>
              </c:strCache>
            </c:strRef>
          </c:cat>
          <c:val>
            <c:numRef>
              <c:f>'Unemployment rate'!$B$3:$B$5</c:f>
              <c:numCache>
                <c:formatCode>0%</c:formatCode>
                <c:ptCount val="3"/>
                <c:pt idx="0">
                  <c:v>0.23</c:v>
                </c:pt>
                <c:pt idx="1">
                  <c:v>0.08</c:v>
                </c:pt>
                <c:pt idx="2">
                  <c:v>0.05</c:v>
                </c:pt>
              </c:numCache>
            </c:numRef>
          </c:val>
          <c:extLst>
            <c:ext xmlns:c16="http://schemas.microsoft.com/office/drawing/2014/chart" uri="{C3380CC4-5D6E-409C-BE32-E72D297353CC}">
              <c16:uniqueId val="{00000000-A3A7-614C-B35A-E3BB7049C2A1}"/>
            </c:ext>
          </c:extLst>
        </c:ser>
        <c:ser>
          <c:idx val="1"/>
          <c:order val="1"/>
          <c:tx>
            <c:strRef>
              <c:f>'Unemployment rate'!$C$2</c:f>
              <c:strCache>
                <c:ptCount val="1"/>
                <c:pt idx="0">
                  <c:v>Czechia</c:v>
                </c:pt>
              </c:strCache>
            </c:strRef>
          </c:tx>
          <c:spPr>
            <a:solidFill>
              <a:schemeClr val="accent2"/>
            </a:solidFill>
            <a:ln>
              <a:noFill/>
            </a:ln>
            <a:effectLst/>
          </c:spPr>
          <c:invertIfNegative val="0"/>
          <c:cat>
            <c:strRef>
              <c:f>'Unemployment rate'!$A$3:$A$5</c:f>
              <c:strCache>
                <c:ptCount val="3"/>
                <c:pt idx="0">
                  <c:v>15-24</c:v>
                </c:pt>
                <c:pt idx="1">
                  <c:v>25-49</c:v>
                </c:pt>
                <c:pt idx="2">
                  <c:v>50-64</c:v>
                </c:pt>
              </c:strCache>
            </c:strRef>
          </c:cat>
          <c:val>
            <c:numRef>
              <c:f>'Unemployment rate'!$C$3:$C$5</c:f>
              <c:numCache>
                <c:formatCode>0%</c:formatCode>
                <c:ptCount val="3"/>
                <c:pt idx="0">
                  <c:v>0.08</c:v>
                </c:pt>
                <c:pt idx="1">
                  <c:v>0.02</c:v>
                </c:pt>
                <c:pt idx="2">
                  <c:v>0.02</c:v>
                </c:pt>
              </c:numCache>
            </c:numRef>
          </c:val>
          <c:extLst>
            <c:ext xmlns:c16="http://schemas.microsoft.com/office/drawing/2014/chart" uri="{C3380CC4-5D6E-409C-BE32-E72D297353CC}">
              <c16:uniqueId val="{00000001-A3A7-614C-B35A-E3BB7049C2A1}"/>
            </c:ext>
          </c:extLst>
        </c:ser>
        <c:dLbls>
          <c:showLegendKey val="0"/>
          <c:showVal val="0"/>
          <c:showCatName val="0"/>
          <c:showSerName val="0"/>
          <c:showPercent val="0"/>
          <c:showBubbleSize val="0"/>
        </c:dLbls>
        <c:gapWidth val="219"/>
        <c:overlap val="-27"/>
        <c:axId val="1070083935"/>
        <c:axId val="1070085647"/>
      </c:barChart>
      <c:catAx>
        <c:axId val="107008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070085647"/>
        <c:crosses val="autoZero"/>
        <c:auto val="1"/>
        <c:lblAlgn val="ctr"/>
        <c:lblOffset val="100"/>
        <c:noMultiLvlLbl val="0"/>
      </c:catAx>
      <c:valAx>
        <c:axId val="1070085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0700839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Poverty gap decomposition - Italy vs Czechia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T"/>
        </a:p>
      </c:txPr>
    </c:title>
    <c:autoTitleDeleted val="0"/>
    <c:plotArea>
      <c:layout>
        <c:manualLayout>
          <c:layoutTarget val="inner"/>
          <c:xMode val="edge"/>
          <c:yMode val="edge"/>
          <c:x val="7.6861620909553605E-2"/>
          <c:y val="0.22086953469597873"/>
          <c:w val="0.90222583156192926"/>
          <c:h val="0.70931614231727724"/>
        </c:manualLayout>
      </c:layout>
      <c:barChart>
        <c:barDir val="col"/>
        <c:grouping val="stacked"/>
        <c:varyColors val="0"/>
        <c:ser>
          <c:idx val="0"/>
          <c:order val="0"/>
          <c:tx>
            <c:strRef>
              <c:f>'At-risk-of-poverty rate'!$N$2</c:f>
              <c:strCache>
                <c:ptCount val="1"/>
                <c:pt idx="0">
                  <c:v>Structure effect</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'At-risk-of-poverty rate'!$M$3:$M$4</c:f>
              <c:strCache>
                <c:ptCount val="2"/>
                <c:pt idx="0">
                  <c:v>&lt;18</c:v>
                </c:pt>
                <c:pt idx="1">
                  <c:v>25-54</c:v>
                </c:pt>
              </c:strCache>
            </c:strRef>
          </c:cat>
          <c:val>
            <c:numRef>
              <c:f>'At-risk-of-poverty rate'!$N$3:$N$4</c:f>
              <c:numCache>
                <c:formatCode>0.00%</c:formatCode>
                <c:ptCount val="2"/>
                <c:pt idx="0">
                  <c:v>-1.01E-2</c:v>
                </c:pt>
                <c:pt idx="1">
                  <c:v>-4.1999999999999997E-3</c:v>
                </c:pt>
              </c:numCache>
            </c:numRef>
          </c:val>
          <c:extLst>
            <c:ext xmlns:c16="http://schemas.microsoft.com/office/drawing/2014/chart" uri="{C3380CC4-5D6E-409C-BE32-E72D297353CC}">
              <c16:uniqueId val="{00000000-7A10-3A44-B6F9-05DEDDAFA1AE}"/>
            </c:ext>
          </c:extLst>
        </c:ser>
        <c:ser>
          <c:idx val="1"/>
          <c:order val="1"/>
          <c:tx>
            <c:strRef>
              <c:f>'At-risk-of-poverty rate'!$O$2</c:f>
              <c:strCache>
                <c:ptCount val="1"/>
                <c:pt idx="0">
                  <c:v>Intensity effect</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'At-risk-of-poverty rate'!$M$3:$M$4</c:f>
              <c:strCache>
                <c:ptCount val="2"/>
                <c:pt idx="0">
                  <c:v>&lt;18</c:v>
                </c:pt>
                <c:pt idx="1">
                  <c:v>25-54</c:v>
                </c:pt>
              </c:strCache>
            </c:strRef>
          </c:cat>
          <c:val>
            <c:numRef>
              <c:f>'At-risk-of-poverty rate'!$O$3:$O$4</c:f>
              <c:numCache>
                <c:formatCode>0.00%</c:formatCode>
                <c:ptCount val="2"/>
                <c:pt idx="0">
                  <c:v>1.72E-2</c:v>
                </c:pt>
                <c:pt idx="1">
                  <c:v>4.5900000000000003E-2</c:v>
                </c:pt>
              </c:numCache>
            </c:numRef>
          </c:val>
          <c:extLst>
            <c:ext xmlns:c16="http://schemas.microsoft.com/office/drawing/2014/chart" uri="{C3380CC4-5D6E-409C-BE32-E72D297353CC}">
              <c16:uniqueId val="{00000001-7A10-3A44-B6F9-05DEDDAFA1AE}"/>
            </c:ext>
          </c:extLst>
        </c:ser>
        <c:dLbls>
          <c:showLegendKey val="0"/>
          <c:showVal val="0"/>
          <c:showCatName val="0"/>
          <c:showSerName val="0"/>
          <c:showPercent val="0"/>
          <c:showBubbleSize val="0"/>
        </c:dLbls>
        <c:gapWidth val="150"/>
        <c:overlap val="100"/>
        <c:axId val="1172882048"/>
        <c:axId val="1109640079"/>
      </c:barChart>
      <c:catAx>
        <c:axId val="1172882048"/>
        <c:scaling>
          <c:orientation val="minMax"/>
        </c:scaling>
        <c:delete val="0"/>
        <c:axPos val="t"/>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IT"/>
          </a:p>
        </c:txPr>
        <c:crossAx val="1109640079"/>
        <c:crosses val="max"/>
        <c:auto val="1"/>
        <c:lblAlgn val="ctr"/>
        <c:lblOffset val="100"/>
        <c:noMultiLvlLbl val="0"/>
      </c:catAx>
      <c:valAx>
        <c:axId val="1109640079"/>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IT"/>
          </a:p>
        </c:txPr>
        <c:crossAx val="1172882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T"/>
        </a:p>
      </c:txPr>
    </c:title>
    <c:autoTitleDeleted val="0"/>
    <c:plotArea>
      <c:layout>
        <c:manualLayout>
          <c:layoutTarget val="inner"/>
          <c:xMode val="edge"/>
          <c:yMode val="edge"/>
          <c:x val="8.8682317669181165E-2"/>
          <c:y val="9.5352232012575686E-2"/>
          <c:w val="0.87652590699692734"/>
          <c:h val="0.7632920806040645"/>
        </c:manualLayout>
      </c:layout>
      <c:lineChart>
        <c:grouping val="standard"/>
        <c:varyColors val="0"/>
        <c:ser>
          <c:idx val="0"/>
          <c:order val="0"/>
          <c:tx>
            <c:strRef>
              <c:f>'Median yearly net income'!$D$2</c:f>
              <c:strCache>
                <c:ptCount val="1"/>
                <c:pt idx="0">
                  <c:v>Index (Czechia vs Italy, %)</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'Median yearly net income'!$A$3:$A$5</c:f>
              <c:strCache>
                <c:ptCount val="3"/>
                <c:pt idx="0">
                  <c:v>0-2 (ISCED 2011)</c:v>
                </c:pt>
                <c:pt idx="1">
                  <c:v>3-4 (ISCED 2011)</c:v>
                </c:pt>
                <c:pt idx="2">
                  <c:v>5-8 (ISCED 2011)</c:v>
                </c:pt>
              </c:strCache>
            </c:strRef>
          </c:cat>
          <c:val>
            <c:numRef>
              <c:f>'Median yearly net income'!$D$3:$D$5</c:f>
              <c:numCache>
                <c:formatCode>0.00%</c:formatCode>
                <c:ptCount val="3"/>
                <c:pt idx="0">
                  <c:v>0.73682062048052255</c:v>
                </c:pt>
                <c:pt idx="1">
                  <c:v>0.74523566050013945</c:v>
                </c:pt>
                <c:pt idx="2">
                  <c:v>0.70489520477023604</c:v>
                </c:pt>
              </c:numCache>
            </c:numRef>
          </c:val>
          <c:smooth val="0"/>
          <c:extLst>
            <c:ext xmlns:c16="http://schemas.microsoft.com/office/drawing/2014/chart" uri="{C3380CC4-5D6E-409C-BE32-E72D297353CC}">
              <c16:uniqueId val="{00000000-EA94-5E4E-90B9-28082B096560}"/>
            </c:ext>
          </c:extLst>
        </c:ser>
        <c:dLbls>
          <c:dLblPos val="ctr"/>
          <c:showLegendKey val="0"/>
          <c:showVal val="1"/>
          <c:showCatName val="0"/>
          <c:showSerName val="0"/>
          <c:showPercent val="0"/>
          <c:showBubbleSize val="0"/>
        </c:dLbls>
        <c:marker val="1"/>
        <c:smooth val="0"/>
        <c:axId val="52176816"/>
        <c:axId val="52161488"/>
      </c:lineChart>
      <c:catAx>
        <c:axId val="52176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IT"/>
          </a:p>
        </c:txPr>
        <c:crossAx val="52161488"/>
        <c:crosses val="autoZero"/>
        <c:auto val="1"/>
        <c:lblAlgn val="ctr"/>
        <c:lblOffset val="100"/>
        <c:noMultiLvlLbl val="0"/>
      </c:catAx>
      <c:valAx>
        <c:axId val="5216148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Czech wage as % of Italy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T"/>
            </a:p>
          </c:txPr>
        </c:title>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5217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38997</xdr:colOff>
      <xdr:row>6</xdr:row>
      <xdr:rowOff>142999</xdr:rowOff>
    </xdr:from>
    <xdr:to>
      <xdr:col>10</xdr:col>
      <xdr:colOff>539679</xdr:colOff>
      <xdr:row>27</xdr:row>
      <xdr:rowOff>37417</xdr:rowOff>
    </xdr:to>
    <xdr:graphicFrame macro="">
      <xdr:nvGraphicFramePr>
        <xdr:cNvPr id="2" name="Chart 1">
          <a:extLst>
            <a:ext uri="{FF2B5EF4-FFF2-40B4-BE49-F238E27FC236}">
              <a16:creationId xmlns:a16="http://schemas.microsoft.com/office/drawing/2014/main" id="{AD2FA88B-4218-0B75-4064-6AC605EA3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5</xdr:row>
      <xdr:rowOff>152400</xdr:rowOff>
    </xdr:from>
    <xdr:to>
      <xdr:col>13</xdr:col>
      <xdr:colOff>558800</xdr:colOff>
      <xdr:row>33</xdr:row>
      <xdr:rowOff>186266</xdr:rowOff>
    </xdr:to>
    <xdr:graphicFrame macro="">
      <xdr:nvGraphicFramePr>
        <xdr:cNvPr id="2" name="Chart 1">
          <a:extLst>
            <a:ext uri="{FF2B5EF4-FFF2-40B4-BE49-F238E27FC236}">
              <a16:creationId xmlns:a16="http://schemas.microsoft.com/office/drawing/2014/main" id="{A2B4FCB2-3674-3524-647C-0A6235642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228985</xdr:colOff>
      <xdr:row>5</xdr:row>
      <xdr:rowOff>200697</xdr:rowOff>
    </xdr:from>
    <xdr:to>
      <xdr:col>14</xdr:col>
      <xdr:colOff>19819</xdr:colOff>
      <xdr:row>33</xdr:row>
      <xdr:rowOff>50800</xdr:rowOff>
    </xdr:to>
    <xdr:graphicFrame macro="">
      <xdr:nvGraphicFramePr>
        <xdr:cNvPr id="3" name="Chart 2">
          <a:extLst>
            <a:ext uri="{FF2B5EF4-FFF2-40B4-BE49-F238E27FC236}">
              <a16:creationId xmlns:a16="http://schemas.microsoft.com/office/drawing/2014/main" id="{0A3E9BC6-4401-B607-2778-DA03E05F9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ec.europa.eu/eurostat/databrowser/view/TEPSR_SPI110__custom_6090024/bookmark/table?lang=en&amp;bookmarkId=793fa2bf-5347-4790-9cbb-98b528729e3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64E85-8B36-BC47-B9AE-EE16E738676B}">
  <dimension ref="A1:K9"/>
  <sheetViews>
    <sheetView tabSelected="1" view="pageLayout" zoomScale="93" zoomScaleNormal="110" zoomScalePageLayoutView="93" workbookViewId="0">
      <selection activeCell="F1" sqref="F1"/>
    </sheetView>
  </sheetViews>
  <sheetFormatPr baseColWidth="10" defaultColWidth="11" defaultRowHeight="16"/>
  <sheetData>
    <row r="1" spans="1:11">
      <c r="A1" s="6"/>
      <c r="B1" s="5"/>
    </row>
    <row r="2" spans="1:11" ht="51">
      <c r="A2" s="11" t="s">
        <v>0</v>
      </c>
      <c r="B2" s="11" t="s">
        <v>1</v>
      </c>
      <c r="C2" s="11" t="s">
        <v>2</v>
      </c>
      <c r="D2" s="11" t="s">
        <v>3</v>
      </c>
      <c r="E2" s="11" t="s">
        <v>4</v>
      </c>
      <c r="F2" s="11" t="s">
        <v>5</v>
      </c>
      <c r="G2" s="11" t="s">
        <v>6</v>
      </c>
      <c r="H2" s="11" t="s">
        <v>7</v>
      </c>
      <c r="I2" s="11" t="s">
        <v>8</v>
      </c>
      <c r="J2" s="11" t="s">
        <v>9</v>
      </c>
    </row>
    <row r="3" spans="1:11" ht="22">
      <c r="A3" s="11" t="s">
        <v>10</v>
      </c>
      <c r="B3" s="12">
        <v>0.23</v>
      </c>
      <c r="C3" s="12">
        <v>0.08</v>
      </c>
      <c r="D3" s="10">
        <v>2023</v>
      </c>
      <c r="E3" s="10" t="s">
        <v>11</v>
      </c>
      <c r="F3" s="10">
        <f>B3/C3*100</f>
        <v>287.5</v>
      </c>
      <c r="G3" s="13">
        <v>0.1</v>
      </c>
      <c r="H3" s="13">
        <v>0.09</v>
      </c>
      <c r="I3" s="13">
        <f>(B3-C3)*H3</f>
        <v>1.3500000000000002E-2</v>
      </c>
      <c r="J3" s="10">
        <f>(G3-H3)*C3</f>
        <v>8.0000000000000069E-4</v>
      </c>
      <c r="K3" s="3"/>
    </row>
    <row r="4" spans="1:11">
      <c r="A4" s="4" t="s">
        <v>12</v>
      </c>
      <c r="B4" s="1">
        <v>0.08</v>
      </c>
      <c r="C4" s="1">
        <v>0.02</v>
      </c>
      <c r="D4">
        <v>2023</v>
      </c>
      <c r="E4" t="s">
        <v>11</v>
      </c>
      <c r="F4">
        <f>B4/C4*100</f>
        <v>400</v>
      </c>
      <c r="G4" s="2">
        <v>0.55000000000000004</v>
      </c>
      <c r="H4" s="2">
        <v>0.53</v>
      </c>
      <c r="I4" s="2">
        <f t="shared" ref="I4:I5" si="0">(B4-C4)*H4</f>
        <v>3.1800000000000002E-2</v>
      </c>
      <c r="J4">
        <f t="shared" ref="J4:J5" si="1">(G4-H4)*C4</f>
        <v>4.0000000000000034E-4</v>
      </c>
    </row>
    <row r="5" spans="1:11">
      <c r="A5" s="4" t="s">
        <v>13</v>
      </c>
      <c r="B5" s="1">
        <v>0.05</v>
      </c>
      <c r="C5" s="1">
        <v>0.02</v>
      </c>
      <c r="D5">
        <v>2023</v>
      </c>
      <c r="E5" t="s">
        <v>11</v>
      </c>
      <c r="F5">
        <f>B5/C5*100</f>
        <v>250</v>
      </c>
      <c r="G5" s="2">
        <v>0.35</v>
      </c>
      <c r="H5" s="2">
        <v>0.38</v>
      </c>
      <c r="I5" s="2">
        <f t="shared" si="0"/>
        <v>1.14E-2</v>
      </c>
      <c r="J5">
        <f t="shared" si="1"/>
        <v>-6.000000000000006E-4</v>
      </c>
    </row>
    <row r="7" spans="1:11">
      <c r="A7" s="7"/>
    </row>
    <row r="8" spans="1:11">
      <c r="A8" s="7"/>
    </row>
    <row r="9" spans="1:11" ht="22">
      <c r="A9" s="9"/>
    </row>
  </sheetData>
  <pageMargins left="0.25" right="0.25" top="0.75" bottom="0.75" header="0.3" footer="0.3"/>
  <pageSetup paperSize="9" orientation="landscape" horizontalDpi="0" verticalDpi="0"/>
  <headerFooter>
    <oddHeader>&amp;LUnemployment Rate Decomposition - Italy vs Czechia (2023)&amp;RSource: Eurostat, 2023.</oddHeader>
    <oddFooter>&amp;LItaly has much higher youth unemployment than Czechia indicating structural barriers in school-to-work transition. The rate effect drives the difference more than the population structure.</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17D1-B738-A741-93D6-AD5257005E64}">
  <sheetPr>
    <pageSetUpPr fitToPage="1"/>
  </sheetPr>
  <dimension ref="A1:P37"/>
  <sheetViews>
    <sheetView view="pageLayout" zoomScale="75" zoomScaleNormal="83" zoomScalePageLayoutView="75" workbookViewId="0">
      <selection activeCell="H1" sqref="H1"/>
    </sheetView>
  </sheetViews>
  <sheetFormatPr baseColWidth="10" defaultColWidth="11" defaultRowHeight="16"/>
  <sheetData>
    <row r="1" spans="1:16">
      <c r="A1" s="6"/>
    </row>
    <row r="2" spans="1:16" ht="51">
      <c r="A2" s="11" t="s">
        <v>0</v>
      </c>
      <c r="B2" s="11" t="s">
        <v>1</v>
      </c>
      <c r="C2" s="11" t="s">
        <v>2</v>
      </c>
      <c r="D2" s="11" t="s">
        <v>3</v>
      </c>
      <c r="E2" s="11" t="s">
        <v>4</v>
      </c>
      <c r="F2" s="11" t="s">
        <v>14</v>
      </c>
      <c r="G2" s="11" t="s">
        <v>6</v>
      </c>
      <c r="H2" s="11" t="s">
        <v>7</v>
      </c>
      <c r="I2" s="11" t="s">
        <v>15</v>
      </c>
      <c r="J2" s="11" t="s">
        <v>9</v>
      </c>
      <c r="K2" s="11" t="s">
        <v>16</v>
      </c>
      <c r="L2" s="10"/>
      <c r="M2" s="11" t="s">
        <v>0</v>
      </c>
      <c r="N2" s="11" t="s">
        <v>9</v>
      </c>
      <c r="O2" s="11" t="s">
        <v>16</v>
      </c>
      <c r="P2" s="10"/>
    </row>
    <row r="3" spans="1:16" ht="17">
      <c r="A3" s="11" t="s">
        <v>17</v>
      </c>
      <c r="B3" s="13">
        <v>0.23200000000000001</v>
      </c>
      <c r="C3" s="13">
        <v>0.13900000000000001</v>
      </c>
      <c r="D3" s="10">
        <v>2024</v>
      </c>
      <c r="E3" s="14" t="s">
        <v>11</v>
      </c>
      <c r="F3" s="13">
        <f>B3/C3</f>
        <v>1.6690647482014387</v>
      </c>
      <c r="G3" s="13">
        <v>0.112</v>
      </c>
      <c r="H3" s="13">
        <v>0.185</v>
      </c>
      <c r="I3" s="13">
        <f>B3-C3</f>
        <v>9.2999999999999999E-2</v>
      </c>
      <c r="J3" s="13">
        <f>(G3 - H3) * C3</f>
        <v>-1.0147E-2</v>
      </c>
      <c r="K3" s="13">
        <f>H3 * (B3 - C3)</f>
        <v>1.7204999999999998E-2</v>
      </c>
      <c r="L3" s="10"/>
      <c r="M3" s="11" t="s">
        <v>17</v>
      </c>
      <c r="N3" s="13">
        <v>-1.01E-2</v>
      </c>
      <c r="O3" s="13">
        <v>1.72E-2</v>
      </c>
      <c r="P3" s="10"/>
    </row>
    <row r="4" spans="1:16">
      <c r="A4" s="4" t="s">
        <v>18</v>
      </c>
      <c r="B4" s="2">
        <v>0.183</v>
      </c>
      <c r="C4" s="2">
        <v>7.6999999999999999E-2</v>
      </c>
      <c r="D4">
        <v>2024</v>
      </c>
      <c r="E4" t="s">
        <v>19</v>
      </c>
      <c r="F4" s="2">
        <f>B4/C4</f>
        <v>2.3766233766233764</v>
      </c>
      <c r="G4" s="2">
        <v>0.379</v>
      </c>
      <c r="H4" s="2">
        <v>0.433</v>
      </c>
      <c r="I4" s="2">
        <f>B4-C4</f>
        <v>0.106</v>
      </c>
      <c r="J4" s="2">
        <f>(G4 - H4) * C4</f>
        <v>-4.1579999999999994E-3</v>
      </c>
      <c r="K4" s="2">
        <f>H4 * (B4 - C4)</f>
        <v>4.5898000000000001E-2</v>
      </c>
      <c r="M4" s="4" t="s">
        <v>18</v>
      </c>
      <c r="N4" s="2">
        <v>-4.1999999999999997E-3</v>
      </c>
      <c r="O4" s="2">
        <v>4.5900000000000003E-2</v>
      </c>
    </row>
    <row r="5" spans="1:16">
      <c r="A5" s="4"/>
    </row>
    <row r="6" spans="1:16">
      <c r="A6" s="7" t="s">
        <v>20</v>
      </c>
    </row>
    <row r="7" spans="1:16" ht="22">
      <c r="A7" s="3" t="s">
        <v>21</v>
      </c>
    </row>
    <row r="37" spans="1:1">
      <c r="A37" s="7"/>
    </row>
  </sheetData>
  <phoneticPr fontId="7" type="noConversion"/>
  <hyperlinks>
    <hyperlink ref="E3" r:id="rId1" display="https://ec.europa.eu/eurostat/databrowser/view/TEPSR_SPI110__custom_6090024/bookmark/table?lang=en&amp;bookmarkId=793fa2bf-5347-4790-9cbb-98b528729e39" xr:uid="{3BAC3BB3-DF17-164F-9433-F7A21C003D54}"/>
  </hyperlinks>
  <pageMargins left="0.25" right="0.25" top="0.75" bottom="0.75" header="0.3" footer="0.3"/>
  <pageSetup paperSize="9" scale="78" orientation="landscape" horizontalDpi="0" verticalDpi="0"/>
  <headerFooter>
    <oddHeader>&amp;LAt-risk-of-poverty (before social transfers) rate decomposition. Italy vs Czechia (2024)&amp;RSource: Eurostat, 2024</oddHeader>
    <oddFooter>&amp;LThe higher poverty rate in Italy compared to Czechia is explained mainly by worse poverty outcomes within each age group (intensity effect), rather than by demographic differences. Intensity effect &gt; structure effect.</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E3FE1-3042-904F-B641-4081341F6FDD}">
  <dimension ref="A1:L35"/>
  <sheetViews>
    <sheetView view="pageLayout" zoomScale="94" zoomScaleNormal="126" zoomScalePageLayoutView="94" workbookViewId="0">
      <selection activeCell="D2" sqref="D2"/>
    </sheetView>
  </sheetViews>
  <sheetFormatPr baseColWidth="10" defaultColWidth="11" defaultRowHeight="16"/>
  <sheetData>
    <row r="1" spans="1:12">
      <c r="A1" s="6"/>
    </row>
    <row r="2" spans="1:12" ht="68">
      <c r="A2" s="11" t="s">
        <v>22</v>
      </c>
      <c r="B2" s="11" t="s">
        <v>23</v>
      </c>
      <c r="C2" s="11" t="s">
        <v>24</v>
      </c>
      <c r="D2" s="11" t="s">
        <v>25</v>
      </c>
      <c r="E2" s="15" t="s">
        <v>6</v>
      </c>
      <c r="F2" s="15" t="s">
        <v>7</v>
      </c>
      <c r="G2" s="11" t="s">
        <v>9</v>
      </c>
      <c r="H2" s="11" t="s">
        <v>16</v>
      </c>
      <c r="I2" s="4" t="s">
        <v>26</v>
      </c>
      <c r="K2" s="10"/>
      <c r="L2" s="10"/>
    </row>
    <row r="3" spans="1:12" ht="34">
      <c r="A3" s="10" t="s">
        <v>27</v>
      </c>
      <c r="B3" s="16">
        <v>17148</v>
      </c>
      <c r="C3" s="16">
        <v>12635</v>
      </c>
      <c r="D3" s="17">
        <f>C3/B3</f>
        <v>0.73682062048052255</v>
      </c>
      <c r="E3" s="16">
        <v>0.36</v>
      </c>
      <c r="F3" s="16">
        <v>0.08</v>
      </c>
      <c r="G3" s="10">
        <f>(E3 - F3 ) * C3</f>
        <v>3537.7999999999997</v>
      </c>
      <c r="H3" s="10">
        <f>(B3-C3) * F3</f>
        <v>361.04</v>
      </c>
      <c r="L3" s="19" t="s">
        <v>28</v>
      </c>
    </row>
    <row r="4" spans="1:12" ht="34">
      <c r="A4" s="18" t="s">
        <v>29</v>
      </c>
      <c r="B4" s="16">
        <v>21514</v>
      </c>
      <c r="C4" s="16">
        <v>16033</v>
      </c>
      <c r="D4" s="17">
        <f t="shared" ref="D4:D5" si="0">C4/B4</f>
        <v>0.74523566050013945</v>
      </c>
      <c r="E4" s="16">
        <v>0.45</v>
      </c>
      <c r="F4" s="16">
        <v>0.67</v>
      </c>
      <c r="G4" s="10">
        <f t="shared" ref="G4:G5" si="1">(E4 - F4 ) * C4</f>
        <v>-3527.2600000000007</v>
      </c>
      <c r="H4" s="10">
        <f t="shared" ref="H4:H5" si="2">(B4-C4) * F4</f>
        <v>3672.2700000000004</v>
      </c>
      <c r="I4" s="7" t="s">
        <v>30</v>
      </c>
      <c r="K4" s="10"/>
      <c r="L4" s="10"/>
    </row>
    <row r="5" spans="1:12" ht="34">
      <c r="A5" s="18" t="s">
        <v>31</v>
      </c>
      <c r="B5" s="16">
        <v>28007</v>
      </c>
      <c r="C5" s="16">
        <v>19742</v>
      </c>
      <c r="D5" s="17">
        <f t="shared" si="0"/>
        <v>0.70489520477023604</v>
      </c>
      <c r="E5" s="16">
        <v>0.19</v>
      </c>
      <c r="F5" s="16">
        <v>0.25</v>
      </c>
      <c r="G5" s="10">
        <f t="shared" si="1"/>
        <v>-1184.52</v>
      </c>
      <c r="H5" s="10">
        <f t="shared" si="2"/>
        <v>2066.25</v>
      </c>
      <c r="I5" s="7" t="s">
        <v>32</v>
      </c>
      <c r="J5" s="10"/>
      <c r="K5" s="10"/>
      <c r="L5" s="10"/>
    </row>
    <row r="6" spans="1:12">
      <c r="E6" s="8"/>
      <c r="F6" s="8"/>
    </row>
    <row r="8" spans="1:12">
      <c r="A8" s="7"/>
    </row>
    <row r="35" spans="1:1">
      <c r="A35" s="7"/>
    </row>
  </sheetData>
  <pageMargins left="0.25" right="0.25" top="0.75" bottom="0.75" header="0.3" footer="0.3"/>
  <pageSetup paperSize="9" scale="75" orientation="landscape" horizontalDpi="0" verticalDpi="0"/>
  <headerFooter>
    <oddHeader>&amp;LMedisn Yearly Net Income by Education Level  - Italy vs Czechia (2024)&amp;RSource: Eurostat (https://ec.europa.eu/eurostat/databrowser/view/ilc_di08__custom_18771256/default/table)</oddHeader>
    <oddFooter>&amp;C&amp;"-,Italic"Median net incomes in Czechia are about 73% of those in Italy, depending on education level. The wage gap widens with higher education, indicating stronger returns to education in Italy.</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52069-1EBA-2745-A4CE-0A6A7416B8EA}">
  <sheetPr>
    <pageSetUpPr fitToPage="1"/>
  </sheetPr>
  <dimension ref="A1:E6"/>
  <sheetViews>
    <sheetView view="pageLayout" zoomScaleNormal="100" workbookViewId="0">
      <selection activeCell="C13" sqref="C13"/>
    </sheetView>
  </sheetViews>
  <sheetFormatPr baseColWidth="10" defaultColWidth="11" defaultRowHeight="16"/>
  <sheetData>
    <row r="1" spans="1:5" ht="51">
      <c r="A1" s="11" t="s">
        <v>33</v>
      </c>
      <c r="B1" s="11" t="s">
        <v>34</v>
      </c>
      <c r="C1" s="11" t="s">
        <v>35</v>
      </c>
      <c r="D1" s="11" t="s">
        <v>36</v>
      </c>
      <c r="E1" s="10"/>
    </row>
    <row r="2" spans="1:5" ht="51">
      <c r="A2" s="11" t="s">
        <v>37</v>
      </c>
      <c r="B2" s="10" t="s">
        <v>16</v>
      </c>
      <c r="C2" s="10" t="s">
        <v>38</v>
      </c>
      <c r="D2" s="7" t="s">
        <v>39</v>
      </c>
      <c r="E2" s="10"/>
    </row>
    <row r="3" spans="1:5" ht="34">
      <c r="A3" s="11" t="s">
        <v>40</v>
      </c>
      <c r="B3" s="10" t="s">
        <v>16</v>
      </c>
      <c r="C3" s="10" t="s">
        <v>41</v>
      </c>
      <c r="D3" s="7" t="s">
        <v>45</v>
      </c>
      <c r="E3" s="10"/>
    </row>
    <row r="4" spans="1:5" ht="34">
      <c r="A4" s="11" t="s">
        <v>42</v>
      </c>
      <c r="B4" s="10" t="s">
        <v>16</v>
      </c>
      <c r="C4" s="10" t="s">
        <v>43</v>
      </c>
      <c r="D4" s="7" t="s">
        <v>44</v>
      </c>
      <c r="E4" s="10"/>
    </row>
    <row r="5" spans="1:5">
      <c r="A5" s="4"/>
    </row>
    <row r="6" spans="1:5">
      <c r="A6" s="7"/>
    </row>
  </sheetData>
  <pageMargins left="0.25" right="0.25" top="0.75" bottom="0.75" header="0.3" footer="0.3"/>
  <pageSetup paperSize="9" scale="73" orientation="landscape" horizontalDpi="0" verticalDpi="0"/>
  <headerFooter>
    <oddHeader>&amp;CConclusions</oddHeader>
    <oddFooter>&amp;CItaly combines higher wages with higher inequality and unemployment. This means that while average earning are higher, fewer people benefit from them compared to Czechia, where unemployment and income distribution are more balanced.</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Unemployment rate</vt:lpstr>
      <vt:lpstr>At-risk-of-poverty rate</vt:lpstr>
      <vt:lpstr>Median yearly net income</vt:lpstr>
      <vt:lpstr>Summary of Decomposition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Tommaso Giuffrida</dc:creator>
  <cp:keywords/>
  <dc:description/>
  <cp:lastModifiedBy>Tommaso Giuffrida</cp:lastModifiedBy>
  <cp:revision/>
  <cp:lastPrinted>2025-11-10T14:09:34Z</cp:lastPrinted>
  <dcterms:created xsi:type="dcterms:W3CDTF">2025-10-30T14:15:09Z</dcterms:created>
  <dcterms:modified xsi:type="dcterms:W3CDTF">2025-11-10T14:12:48Z</dcterms:modified>
  <cp:category/>
  <cp:contentStatus/>
</cp:coreProperties>
</file>